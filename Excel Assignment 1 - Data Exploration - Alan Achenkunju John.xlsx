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ana\Desktop\Entri Data Analaystic Course\"/>
    </mc:Choice>
  </mc:AlternateContent>
  <xr:revisionPtr revIDLastSave="0" documentId="8_{BBAC5278-6D9F-4632-828A-EC147A86A38A}" xr6:coauthVersionLast="47" xr6:coauthVersionMax="47" xr10:uidLastSave="{00000000-0000-0000-0000-000000000000}"/>
  <bookViews>
    <workbookView xWindow="0" yWindow="360" windowWidth="22620" windowHeight="13500" xr2:uid="{768E2D4A-198E-4289-8178-43F3B56B2E28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3" i="1" l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C52" i="1"/>
  <c r="C51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C49" i="1"/>
  <c r="C48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C46" i="1"/>
  <c r="C44" i="1"/>
  <c r="C43" i="1"/>
  <c r="C41" i="1"/>
  <c r="C40" i="1"/>
  <c r="C39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2" i="1"/>
  <c r="G36" i="1" l="1"/>
</calcChain>
</file>

<file path=xl/sharedStrings.xml><?xml version="1.0" encoding="utf-8"?>
<sst xmlns="http://schemas.openxmlformats.org/spreadsheetml/2006/main" count="164" uniqueCount="115">
  <si>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</si>
  <si>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</si>
  <si>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</si>
  <si>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</si>
  <si>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</si>
  <si>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</si>
  <si>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</si>
  <si>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</si>
  <si>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</si>
  <si>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</si>
  <si>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</si>
  <si>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</si>
  <si>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</si>
  <si>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</si>
  <si>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</si>
  <si>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</si>
  <si>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</si>
  <si>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</si>
  <si>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</si>
  <si>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</si>
  <si>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</si>
  <si>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</si>
  <si>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</si>
  <si>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</si>
  <si>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</si>
  <si>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</si>
  <si>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</si>
  <si>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</si>
  <si>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</si>
  <si>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</si>
  <si>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</si>
  <si>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</si>
  <si>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</si>
  <si>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</si>
  <si>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</si>
  <si>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</si>
  <si>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</si>
  <si>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</si>
  <si>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</si>
  <si>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</si>
  <si>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</si>
  <si>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</si>
  <si>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</si>
  <si>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</si>
  <si>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</si>
  <si>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</si>
  <si>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</si>
  <si>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</si>
  <si>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</si>
  <si>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</si>
  <si>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</si>
  <si>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</si>
  <si>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</si>
  <si>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</si>
  <si>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</si>
  <si>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</si>
  <si>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</si>
  <si>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</si>
  <si>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</si>
  <si>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</si>
  <si>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</si>
  <si>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</si>
  <si>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</si>
  <si>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</si>
  <si>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</si>
  <si>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</si>
  <si>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</si>
  <si>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</si>
  <si>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</si>
  <si>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</si>
  <si>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</si>
  <si>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</si>
  <si>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</si>
  <si>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</si>
  <si>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</si>
  <si>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</si>
  <si>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</si>
  <si>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</si>
  <si>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</si>
  <si>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</si>
  <si>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</si>
  <si>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</si>
  <si>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</si>
  <si>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</si>
  <si>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</si>
  <si>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</si>
  <si>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</si>
  <si>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</si>
  <si>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</si>
  <si>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</si>
  <si>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</si>
  <si>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</si>
  <si>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</si>
  <si>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Total Price</t>
  </si>
  <si>
    <t xml:space="preserve">1) Sum, Count, Average:			</t>
  </si>
  <si>
    <t xml:space="preserve">What is the total price of all products in the dataset?				</t>
  </si>
  <si>
    <t>How many products are there in the dataset?</t>
  </si>
  <si>
    <t>Calculate the average price of the products.</t>
  </si>
  <si>
    <t>Answers</t>
  </si>
  <si>
    <t>2) Min and Max:</t>
  </si>
  <si>
    <t>Find the maximum price among all products.</t>
  </si>
  <si>
    <t xml:space="preserve">Determine the minimum price among all products.
</t>
  </si>
  <si>
    <t>3) IF Function:</t>
  </si>
  <si>
    <t xml:space="preserve">Using an IF function, create a new column named Price Range to categorize products with a price greater than or equal to $500 as 'High Price' and others as 'Standard Price'.										</t>
  </si>
  <si>
    <t>Price Range</t>
  </si>
  <si>
    <t>4) SUMIF and COUNTIF:</t>
  </si>
  <si>
    <t>Determine the count of products with a price less than $100 using the COUNTIF function.</t>
  </si>
  <si>
    <t xml:space="preserve">Calculate the total price for products in the 'Electronics' category using the SUMIF function.
</t>
  </si>
  <si>
    <t>5) Text Formatting - LEFT, RIGHT, MID:</t>
  </si>
  <si>
    <t xml:space="preserve">Create a new column named Country Code by extracting the last 2 characters from the 'Product ID' column using the RIGHT function.	
</t>
  </si>
  <si>
    <t xml:space="preserve">Create a new column named Day with the first 2 characters of each 'Product ID' using the LEFT function.	
	</t>
  </si>
  <si>
    <t>Create a new column named Month by extracting 4th to 6th characters from the 'Product ID' column using the MID function.</t>
  </si>
  <si>
    <t>Day</t>
  </si>
  <si>
    <t>Country Code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</si>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</sst>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4DD0E1"/>
        <bgColor indexed="64"/>
      </patternFill>
    </fill>
    <fill>
      <patternFill patternType="solid">
        <fgColor rgb="FFE0F7FA"/>
        <bgColor indexed="64"/>
      </patternFill>
    </fill>
  </fills>
  <borders count="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3" fillId="0" borderId="3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3" fillId="3" borderId="3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center" vertical="top" wrapText="1"/>
    </xf>
    <xf numFmtId="0" fontId="3" fillId="3" borderId="4" xfId="0" applyFont="1" applyFill="1" applyBorder="1" applyAlignment="1">
      <alignment horizontal="center" vertical="top" wrapText="1"/>
    </xf>
    <xf numFmtId="0" fontId="3" fillId="3" borderId="5" xfId="0" applyFont="1" applyFill="1" applyBorder="1" applyAlignment="1">
      <alignment horizontal="center" vertical="top" wrapText="1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 wrapText="1"/>
    </xf>
    <xf numFmtId="0" fontId="3" fillId="3" borderId="6" xfId="0" applyFont="1" applyFill="1" applyBorder="1" applyAlignment="1">
      <alignment horizontal="center" vertical="top" wrapText="1"/>
    </xf>
  </cellXfs>
  <cellStyles count="1">
    <cellStyle name="Normal" xfId="0" builtinId="0"/>
  </cellStyles>
  <dxfs count="2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E0F7FA"/>
        </patternFill>
      </fill>
      <alignment horizontal="center" vertical="top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fill>
        <patternFill patternType="solid">
          <fgColor indexed="64"/>
          <bgColor rgb="FFE0F7FA"/>
        </patternFill>
      </fill>
      <alignment horizontal="center" vertical="top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E0F7FA"/>
        </patternFill>
      </fill>
      <alignment horizontal="center" vertical="top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fill>
        <patternFill patternType="solid">
          <fgColor indexed="64"/>
          <bgColor rgb="FFE0F7FA"/>
        </patternFill>
      </fill>
      <alignment horizontal="center" vertical="top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E0F7FA"/>
        </patternFill>
      </fill>
      <alignment horizontal="center" vertical="top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fill>
        <patternFill patternType="solid">
          <fgColor indexed="64"/>
          <bgColor rgb="FFE0F7FA"/>
        </patternFill>
      </fill>
      <alignment horizontal="center" vertical="top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E0F7FA"/>
        </patternFill>
      </fill>
      <alignment horizontal="center" vertical="top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E0F7FA"/>
        </patternFill>
      </fill>
      <alignment horizontal="center" vertical="top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E0F7FA"/>
        </patternFill>
      </fill>
      <alignment horizontal="center" vertical="top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E0F7FA"/>
        </patternFill>
      </fill>
      <alignment horizontal="center" vertical="top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E0F7FA"/>
        </patternFill>
      </fill>
      <alignment horizontal="center" vertical="top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E0F7FA"/>
        </patternFill>
      </fill>
      <alignment horizontal="center" vertical="top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E0F7FA"/>
        </patternFill>
      </fill>
      <alignment horizontal="center" vertical="top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E0F7FA"/>
        </patternFill>
      </fill>
      <alignment horizontal="center" vertical="top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E0F7FA"/>
        </patternFill>
      </fill>
      <alignment horizontal="center" vertical="top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E0F7FA"/>
        </patternFill>
      </fill>
      <alignment horizontal="center" vertical="top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E0F7FA"/>
        </patternFill>
      </fill>
      <alignment horizontal="center" vertical="top" textRotation="0" wrapText="1" indent="0" justifyLastLine="0" shrinkToFit="0" readingOrder="0"/>
      <border diagonalUp="0" diagonalDown="0" outline="0">
        <left/>
        <right style="medium">
          <color rgb="FFCCCCCC"/>
        </right>
        <top style="medium">
          <color rgb="FFCCCCCC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E0F7FA"/>
        </patternFill>
      </fill>
      <alignment horizontal="center" vertical="top" textRotation="0" wrapText="1" indent="0" justifyLastLine="0" shrinkToFit="0" readingOrder="0"/>
      <border diagonalUp="0" diagonalDown="0" outline="0">
        <left/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alignment horizontal="center" textRotation="0" indent="0" justifyLastLine="0" shrinkToFit="0" readingOrder="0"/>
    </dxf>
    <dxf>
      <border outline="0">
        <left style="medium">
          <color rgb="FFCCCCCC"/>
        </left>
      </border>
    </dxf>
    <dxf>
      <alignment horizont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4DD0E1"/>
        </patternFill>
      </fill>
      <alignment horizontal="center" vertical="top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E9C69B-AA3E-45AA-86C1-551559278610}" name="Table1" displayName="Table1" ref="A1:K36" totalsRowCount="1" headerRowDxfId="25" dataDxfId="24" totalsRowDxfId="22" tableBorderDxfId="23">
  <autoFilter ref="A1:K35" xr:uid="{29E9C69B-AA3E-45AA-86C1-551559278610}"/>
  <tableColumns count="11">
    <tableColumn id="1" xr3:uid="{931EEC47-C54F-4B1A-B6F1-5310EE3953D1}" name="Product ID" dataDxfId="21" totalsRowDxfId="20"/>
    <tableColumn id="2" xr3:uid="{7CA14AAB-74D2-4EBD-B57C-6C94FE2D752A}" name="Product Name" dataDxfId="19" totalsRowDxfId="18"/>
    <tableColumn id="3" xr3:uid="{09F8F75E-28A3-4848-B80C-9374B1E797E6}" name="Brand Name" dataDxfId="17" totalsRowDxfId="16"/>
    <tableColumn id="4" xr3:uid="{A5BA17AA-4A40-466E-BFA5-569328517823}" name="Price ($)" dataDxfId="15" totalsRowDxfId="14"/>
    <tableColumn id="5" xr3:uid="{D4B9C073-A2F6-4B73-98EF-EB21E7190C50}" name="Quantity" dataDxfId="13" totalsRowDxfId="12"/>
    <tableColumn id="6" xr3:uid="{896043B7-EF13-4CBA-8C08-17A3183424C4}" name="Category" dataDxfId="11" totalsRowDxfId="10"/>
    <tableColumn id="7" xr3:uid="{BD0C31ED-D159-487E-BC6B-A4D4C5870C88}" name="Total Price" totalsRowFunction="custom" dataDxfId="9" totalsRowDxfId="8">
      <calculatedColumnFormula>D2*E2</calculatedColumnFormula>
      <totalsRowFormula>SUM(Table1[Total Price])</totalsRowFormula>
    </tableColumn>
    <tableColumn id="8" xr3:uid="{1BE4F90D-1F8E-41F9-8DCB-E192C5141DAD}" name="Price Range" dataDxfId="7" totalsRowDxfId="6">
      <calculatedColumnFormula>IF(D2&gt;=500, "High Price", "Standard Price")</calculatedColumnFormula>
    </tableColumn>
    <tableColumn id="9" xr3:uid="{637A11CC-85BE-473D-8802-30A93C2F5248}" name="Day" dataDxfId="5" totalsRowDxfId="4">
      <calculatedColumnFormula>LEFT(A2, 2)</calculatedColumnFormula>
    </tableColumn>
    <tableColumn id="10" xr3:uid="{5BFC15CA-FDA6-4ED8-8E49-D11DD2385C28}" name="Country Code" dataDxfId="3" totalsRowDxfId="2">
      <calculatedColumnFormula>RIGHT(A2, 2)</calculatedColumnFormula>
    </tableColumn>
    <tableColumn id="11" xr3:uid="{E4726CDD-B30A-4665-890E-F16831E4F84E}" name="Month" dataDxfId="1" totalsRowDxfId="0">
      <calculatedColumnFormula>MID(A2, 4, 3)</calculatedColumnFormula>
    </tableColumn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4EABE-39D3-4471-BAF7-D6ECF10458B3}">
  <dimension ref="A1:K53"/>
  <sheetViews>
    <sheetView tabSelected="1" topLeftCell="A47" workbookViewId="0">
      <selection activeCell="N6" sqref="N6"/>
    </sheetView>
  </sheetViews>
  <sheetFormatPr defaultRowHeight="14.5" x14ac:dyDescent="0.35"/>
  <cols>
    <col min="1" max="1" width="21" style="7" customWidth="1"/>
    <col min="2" max="2" width="40.7265625" style="7" customWidth="1"/>
    <col min="3" max="3" width="14.26953125" style="7" customWidth="1"/>
    <col min="4" max="4" width="11.90625" style="7" customWidth="1"/>
    <col min="5" max="5" width="12.1796875" style="7" customWidth="1"/>
    <col min="6" max="6" width="13.1796875" style="7" customWidth="1"/>
    <col min="7" max="7" width="12.08984375" style="7" customWidth="1"/>
    <col min="8" max="8" width="15.1796875" style="7" customWidth="1"/>
    <col min="10" max="10" width="13.26953125" customWidth="1"/>
    <col min="11" max="11" width="10.7265625" customWidth="1"/>
  </cols>
  <sheetData>
    <row r="1" spans="1:11" ht="15" thickBot="1" x14ac:dyDescent="0.4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93</v>
      </c>
      <c r="H1" s="2" t="s">
        <v>104</v>
      </c>
      <c r="I1" s="2" t="s">
        <v>112</v>
      </c>
      <c r="J1" s="2" t="s">
        <v>113</v>
      </c>
      <c r="K1" s="2" t="s">
        <v>114</v>
      </c>
    </row>
    <row r="2" spans="1:11" ht="15" thickBot="1" x14ac:dyDescent="0.4">
      <c r="A2" s="5" t="s">
        <v>6</v>
      </c>
      <c r="B2" s="6" t="s">
        <v>7</v>
      </c>
      <c r="C2" s="6" t="s">
        <v>8</v>
      </c>
      <c r="D2" s="6">
        <v>1000</v>
      </c>
      <c r="E2" s="6">
        <v>30</v>
      </c>
      <c r="F2" s="6" t="s">
        <v>9</v>
      </c>
      <c r="G2" s="7">
        <f>D2*E2</f>
        <v>30000</v>
      </c>
      <c r="H2" s="7" t="str">
        <f t="shared" ref="H2:H35" si="0">IF(D2&gt;=500, "High Price", "Standard Price")</f>
        <v>High Price</v>
      </c>
      <c r="I2" s="18" t="str">
        <f t="shared" ref="I2:I35" si="1">LEFT(A2, 2)</f>
        <v>28</v>
      </c>
      <c r="J2" s="18" t="str">
        <f t="shared" ref="J2:J35" si="2">RIGHT(A2, 2)</f>
        <v>US</v>
      </c>
      <c r="K2" s="18" t="str">
        <f t="shared" ref="K2:K35" si="3">MID(A2, 4, 3)</f>
        <v>JAN</v>
      </c>
    </row>
    <row r="3" spans="1:11" ht="15" thickBot="1" x14ac:dyDescent="0.4">
      <c r="A3" s="8" t="s">
        <v>10</v>
      </c>
      <c r="B3" s="9" t="s">
        <v>11</v>
      </c>
      <c r="C3" s="9" t="s">
        <v>12</v>
      </c>
      <c r="D3" s="9">
        <v>80</v>
      </c>
      <c r="E3" s="9">
        <v>15</v>
      </c>
      <c r="F3" s="9" t="s">
        <v>13</v>
      </c>
      <c r="G3" s="7">
        <f t="shared" ref="G3:G35" si="4">D3*E3</f>
        <v>1200</v>
      </c>
      <c r="H3" s="7" t="str">
        <f t="shared" si="0"/>
        <v>Standard Price</v>
      </c>
      <c r="I3" s="9" t="str">
        <f t="shared" si="1"/>
        <v>15</v>
      </c>
      <c r="J3" s="9" t="str">
        <f t="shared" si="2"/>
        <v>US</v>
      </c>
      <c r="K3" s="9" t="str">
        <f t="shared" si="3"/>
        <v>FEB</v>
      </c>
    </row>
    <row r="4" spans="1:11" ht="15" thickBot="1" x14ac:dyDescent="0.4">
      <c r="A4" s="5" t="s">
        <v>14</v>
      </c>
      <c r="B4" s="6" t="s">
        <v>15</v>
      </c>
      <c r="C4" s="6" t="s">
        <v>16</v>
      </c>
      <c r="D4" s="6">
        <v>130</v>
      </c>
      <c r="E4" s="6">
        <v>40</v>
      </c>
      <c r="F4" s="6" t="s">
        <v>17</v>
      </c>
      <c r="G4" s="7">
        <f t="shared" si="4"/>
        <v>5200</v>
      </c>
      <c r="H4" s="7" t="str">
        <f t="shared" si="0"/>
        <v>Standard Price</v>
      </c>
      <c r="I4" s="9" t="str">
        <f t="shared" si="1"/>
        <v>03</v>
      </c>
      <c r="J4" s="9" t="str">
        <f t="shared" si="2"/>
        <v>US</v>
      </c>
      <c r="K4" s="9" t="str">
        <f t="shared" si="3"/>
        <v>MAR</v>
      </c>
    </row>
    <row r="5" spans="1:11" ht="15" thickBot="1" x14ac:dyDescent="0.4">
      <c r="A5" s="8" t="s">
        <v>18</v>
      </c>
      <c r="B5" s="9" t="s">
        <v>19</v>
      </c>
      <c r="C5" s="9" t="s">
        <v>20</v>
      </c>
      <c r="D5" s="9">
        <v>900</v>
      </c>
      <c r="E5" s="9">
        <v>25</v>
      </c>
      <c r="F5" s="9" t="s">
        <v>9</v>
      </c>
      <c r="G5" s="7">
        <f t="shared" si="4"/>
        <v>22500</v>
      </c>
      <c r="H5" s="7" t="str">
        <f t="shared" si="0"/>
        <v>High Price</v>
      </c>
      <c r="I5" s="9" t="str">
        <f t="shared" si="1"/>
        <v>11</v>
      </c>
      <c r="J5" s="9" t="str">
        <f t="shared" si="2"/>
        <v>US</v>
      </c>
      <c r="K5" s="9" t="str">
        <f t="shared" si="3"/>
        <v>APR</v>
      </c>
    </row>
    <row r="6" spans="1:11" ht="15" thickBot="1" x14ac:dyDescent="0.4">
      <c r="A6" s="5" t="s">
        <v>21</v>
      </c>
      <c r="B6" s="6" t="s">
        <v>22</v>
      </c>
      <c r="C6" s="6" t="s">
        <v>23</v>
      </c>
      <c r="D6" s="6">
        <v>70</v>
      </c>
      <c r="E6" s="6">
        <v>20</v>
      </c>
      <c r="F6" s="6" t="s">
        <v>24</v>
      </c>
      <c r="G6" s="7">
        <f t="shared" si="4"/>
        <v>1400</v>
      </c>
      <c r="H6" s="7" t="str">
        <f t="shared" si="0"/>
        <v>Standard Price</v>
      </c>
      <c r="I6" s="9" t="str">
        <f t="shared" si="1"/>
        <v>22</v>
      </c>
      <c r="J6" s="9" t="str">
        <f t="shared" si="2"/>
        <v>US</v>
      </c>
      <c r="K6" s="9" t="str">
        <f t="shared" si="3"/>
        <v>MAY</v>
      </c>
    </row>
    <row r="7" spans="1:11" ht="15" thickBot="1" x14ac:dyDescent="0.4">
      <c r="A7" s="8" t="s">
        <v>25</v>
      </c>
      <c r="B7" s="9" t="s">
        <v>26</v>
      </c>
      <c r="C7" s="9" t="s">
        <v>27</v>
      </c>
      <c r="D7" s="9">
        <v>200</v>
      </c>
      <c r="E7" s="9">
        <v>45</v>
      </c>
      <c r="F7" s="9" t="s">
        <v>9</v>
      </c>
      <c r="G7" s="7">
        <f t="shared" si="4"/>
        <v>9000</v>
      </c>
      <c r="H7" s="7" t="str">
        <f t="shared" si="0"/>
        <v>Standard Price</v>
      </c>
      <c r="I7" s="9" t="str">
        <f t="shared" si="1"/>
        <v>07</v>
      </c>
      <c r="J7" s="9" t="str">
        <f t="shared" si="2"/>
        <v>UK</v>
      </c>
      <c r="K7" s="9" t="str">
        <f t="shared" si="3"/>
        <v>JUN</v>
      </c>
    </row>
    <row r="8" spans="1:11" ht="15" thickBot="1" x14ac:dyDescent="0.4">
      <c r="A8" s="5" t="s">
        <v>28</v>
      </c>
      <c r="B8" s="6" t="s">
        <v>29</v>
      </c>
      <c r="C8" s="6" t="s">
        <v>30</v>
      </c>
      <c r="D8" s="6">
        <v>30</v>
      </c>
      <c r="E8" s="6">
        <v>5</v>
      </c>
      <c r="F8" s="6" t="s">
        <v>13</v>
      </c>
      <c r="G8" s="7">
        <f t="shared" si="4"/>
        <v>150</v>
      </c>
      <c r="H8" s="7" t="str">
        <f t="shared" si="0"/>
        <v>Standard Price</v>
      </c>
      <c r="I8" s="9" t="str">
        <f t="shared" si="1"/>
        <v>19</v>
      </c>
      <c r="J8" s="9" t="str">
        <f t="shared" si="2"/>
        <v>UK</v>
      </c>
      <c r="K8" s="9" t="str">
        <f t="shared" si="3"/>
        <v>JUL</v>
      </c>
    </row>
    <row r="9" spans="1:11" ht="15" thickBot="1" x14ac:dyDescent="0.4">
      <c r="A9" s="8" t="s">
        <v>31</v>
      </c>
      <c r="B9" s="9" t="s">
        <v>32</v>
      </c>
      <c r="C9" s="9" t="s">
        <v>33</v>
      </c>
      <c r="D9" s="9">
        <v>90</v>
      </c>
      <c r="E9" s="9">
        <v>35</v>
      </c>
      <c r="F9" s="9" t="s">
        <v>17</v>
      </c>
      <c r="G9" s="7">
        <f t="shared" si="4"/>
        <v>3150</v>
      </c>
      <c r="H9" s="7" t="str">
        <f t="shared" si="0"/>
        <v>Standard Price</v>
      </c>
      <c r="I9" s="9" t="str">
        <f t="shared" si="1"/>
        <v>23</v>
      </c>
      <c r="J9" s="9" t="str">
        <f t="shared" si="2"/>
        <v>UK</v>
      </c>
      <c r="K9" s="9" t="str">
        <f t="shared" si="3"/>
        <v>AUG</v>
      </c>
    </row>
    <row r="10" spans="1:11" ht="15" thickBot="1" x14ac:dyDescent="0.4">
      <c r="A10" s="5" t="s">
        <v>34</v>
      </c>
      <c r="B10" s="6" t="s">
        <v>35</v>
      </c>
      <c r="C10" s="6" t="s">
        <v>36</v>
      </c>
      <c r="D10" s="6">
        <v>500</v>
      </c>
      <c r="E10" s="6">
        <v>50</v>
      </c>
      <c r="F10" s="6" t="s">
        <v>9</v>
      </c>
      <c r="G10" s="7">
        <f t="shared" si="4"/>
        <v>25000</v>
      </c>
      <c r="H10" s="7" t="str">
        <f t="shared" si="0"/>
        <v>High Price</v>
      </c>
      <c r="I10" s="9" t="str">
        <f t="shared" si="1"/>
        <v>05</v>
      </c>
      <c r="J10" s="9" t="str">
        <f t="shared" si="2"/>
        <v>UK</v>
      </c>
      <c r="K10" s="9" t="str">
        <f t="shared" si="3"/>
        <v>SEP</v>
      </c>
    </row>
    <row r="11" spans="1:11" ht="15" thickBot="1" x14ac:dyDescent="0.4">
      <c r="A11" s="8" t="s">
        <v>37</v>
      </c>
      <c r="B11" s="9" t="s">
        <v>38</v>
      </c>
      <c r="C11" s="9" t="s">
        <v>39</v>
      </c>
      <c r="D11" s="9">
        <v>130</v>
      </c>
      <c r="E11" s="9">
        <v>10</v>
      </c>
      <c r="F11" s="9" t="s">
        <v>24</v>
      </c>
      <c r="G11" s="7">
        <f t="shared" si="4"/>
        <v>1300</v>
      </c>
      <c r="H11" s="7" t="str">
        <f t="shared" si="0"/>
        <v>Standard Price</v>
      </c>
      <c r="I11" s="9" t="str">
        <f t="shared" si="1"/>
        <v>14</v>
      </c>
      <c r="J11" s="9" t="str">
        <f t="shared" si="2"/>
        <v>UK</v>
      </c>
      <c r="K11" s="9" t="str">
        <f t="shared" si="3"/>
        <v>OCT</v>
      </c>
    </row>
    <row r="12" spans="1:11" ht="15" thickBot="1" x14ac:dyDescent="0.4">
      <c r="A12" s="5" t="s">
        <v>40</v>
      </c>
      <c r="B12" s="6" t="s">
        <v>7</v>
      </c>
      <c r="C12" s="6" t="s">
        <v>41</v>
      </c>
      <c r="D12" s="6">
        <v>950</v>
      </c>
      <c r="E12" s="6">
        <v>25</v>
      </c>
      <c r="F12" s="6" t="s">
        <v>9</v>
      </c>
      <c r="G12" s="7">
        <f t="shared" si="4"/>
        <v>23750</v>
      </c>
      <c r="H12" s="7" t="str">
        <f t="shared" si="0"/>
        <v>High Price</v>
      </c>
      <c r="I12" s="9" t="str">
        <f t="shared" si="1"/>
        <v>17</v>
      </c>
      <c r="J12" s="9" t="str">
        <f t="shared" si="2"/>
        <v>IN</v>
      </c>
      <c r="K12" s="9" t="str">
        <f t="shared" si="3"/>
        <v>JUN</v>
      </c>
    </row>
    <row r="13" spans="1:11" ht="15" thickBot="1" x14ac:dyDescent="0.4">
      <c r="A13" s="8" t="s">
        <v>42</v>
      </c>
      <c r="B13" s="9" t="s">
        <v>11</v>
      </c>
      <c r="C13" s="9" t="s">
        <v>30</v>
      </c>
      <c r="D13" s="9">
        <v>90</v>
      </c>
      <c r="E13" s="9">
        <v>40</v>
      </c>
      <c r="F13" s="9" t="s">
        <v>13</v>
      </c>
      <c r="G13" s="7">
        <f t="shared" si="4"/>
        <v>3600</v>
      </c>
      <c r="H13" s="7" t="str">
        <f t="shared" si="0"/>
        <v>Standard Price</v>
      </c>
      <c r="I13" s="9" t="str">
        <f t="shared" si="1"/>
        <v>25</v>
      </c>
      <c r="J13" s="9" t="str">
        <f t="shared" si="2"/>
        <v>AU</v>
      </c>
      <c r="K13" s="9" t="str">
        <f t="shared" si="3"/>
        <v>NOV</v>
      </c>
    </row>
    <row r="14" spans="1:11" ht="15" thickBot="1" x14ac:dyDescent="0.4">
      <c r="A14" s="5" t="s">
        <v>43</v>
      </c>
      <c r="B14" s="6" t="s">
        <v>15</v>
      </c>
      <c r="C14" s="6" t="s">
        <v>44</v>
      </c>
      <c r="D14" s="6">
        <v>120</v>
      </c>
      <c r="E14" s="6">
        <v>35</v>
      </c>
      <c r="F14" s="6" t="s">
        <v>17</v>
      </c>
      <c r="G14" s="7">
        <f t="shared" si="4"/>
        <v>4200</v>
      </c>
      <c r="H14" s="7" t="str">
        <f t="shared" si="0"/>
        <v>Standard Price</v>
      </c>
      <c r="I14" s="9" t="str">
        <f t="shared" si="1"/>
        <v>08</v>
      </c>
      <c r="J14" s="9" t="str">
        <f t="shared" si="2"/>
        <v>DE</v>
      </c>
      <c r="K14" s="9" t="str">
        <f t="shared" si="3"/>
        <v>DEC</v>
      </c>
    </row>
    <row r="15" spans="1:11" ht="15" thickBot="1" x14ac:dyDescent="0.4">
      <c r="A15" s="8" t="s">
        <v>45</v>
      </c>
      <c r="B15" s="9" t="s">
        <v>46</v>
      </c>
      <c r="C15" s="9" t="s">
        <v>47</v>
      </c>
      <c r="D15" s="9">
        <v>150</v>
      </c>
      <c r="E15" s="9">
        <v>15</v>
      </c>
      <c r="F15" s="9" t="s">
        <v>9</v>
      </c>
      <c r="G15" s="7">
        <f t="shared" si="4"/>
        <v>2250</v>
      </c>
      <c r="H15" s="7" t="str">
        <f t="shared" si="0"/>
        <v>Standard Price</v>
      </c>
      <c r="I15" s="9" t="str">
        <f t="shared" si="1"/>
        <v>18</v>
      </c>
      <c r="J15" s="9" t="str">
        <f t="shared" si="2"/>
        <v>CA</v>
      </c>
      <c r="K15" s="9" t="str">
        <f t="shared" si="3"/>
        <v>FEB</v>
      </c>
    </row>
    <row r="16" spans="1:11" ht="15" thickBot="1" x14ac:dyDescent="0.4">
      <c r="A16" s="5" t="s">
        <v>48</v>
      </c>
      <c r="B16" s="6" t="s">
        <v>26</v>
      </c>
      <c r="C16" s="6" t="s">
        <v>49</v>
      </c>
      <c r="D16" s="6">
        <v>250</v>
      </c>
      <c r="E16" s="6">
        <v>20</v>
      </c>
      <c r="F16" s="6" t="s">
        <v>9</v>
      </c>
      <c r="G16" s="7">
        <f t="shared" si="4"/>
        <v>5000</v>
      </c>
      <c r="H16" s="7" t="str">
        <f t="shared" si="0"/>
        <v>Standard Price</v>
      </c>
      <c r="I16" s="9" t="str">
        <f t="shared" si="1"/>
        <v>16</v>
      </c>
      <c r="J16" s="9" t="str">
        <f t="shared" si="2"/>
        <v>ES</v>
      </c>
      <c r="K16" s="9" t="str">
        <f t="shared" si="3"/>
        <v>APR</v>
      </c>
    </row>
    <row r="17" spans="1:11" ht="15" thickBot="1" x14ac:dyDescent="0.4">
      <c r="A17" s="8" t="s">
        <v>50</v>
      </c>
      <c r="B17" s="9" t="s">
        <v>51</v>
      </c>
      <c r="C17" s="9" t="s">
        <v>52</v>
      </c>
      <c r="D17" s="9">
        <v>50</v>
      </c>
      <c r="E17" s="9">
        <v>35</v>
      </c>
      <c r="F17" s="9" t="s">
        <v>53</v>
      </c>
      <c r="G17" s="7">
        <f t="shared" si="4"/>
        <v>1750</v>
      </c>
      <c r="H17" s="7" t="str">
        <f t="shared" si="0"/>
        <v>Standard Price</v>
      </c>
      <c r="I17" s="9" t="str">
        <f t="shared" si="1"/>
        <v>21</v>
      </c>
      <c r="J17" s="9" t="str">
        <f t="shared" si="2"/>
        <v>CA</v>
      </c>
      <c r="K17" s="9" t="str">
        <f t="shared" si="3"/>
        <v>AUG</v>
      </c>
    </row>
    <row r="18" spans="1:11" ht="15" thickBot="1" x14ac:dyDescent="0.4">
      <c r="A18" s="5" t="s">
        <v>54</v>
      </c>
      <c r="B18" s="6" t="s">
        <v>46</v>
      </c>
      <c r="C18" s="6" t="s">
        <v>55</v>
      </c>
      <c r="D18" s="6">
        <v>160</v>
      </c>
      <c r="E18" s="6">
        <v>15</v>
      </c>
      <c r="F18" s="6" t="s">
        <v>9</v>
      </c>
      <c r="G18" s="7">
        <f t="shared" si="4"/>
        <v>2400</v>
      </c>
      <c r="H18" s="7" t="str">
        <f t="shared" si="0"/>
        <v>Standard Price</v>
      </c>
      <c r="I18" s="9" t="str">
        <f t="shared" si="1"/>
        <v>20</v>
      </c>
      <c r="J18" s="9" t="str">
        <f t="shared" si="2"/>
        <v>CN</v>
      </c>
      <c r="K18" s="9" t="str">
        <f t="shared" si="3"/>
        <v>AUG</v>
      </c>
    </row>
    <row r="19" spans="1:11" ht="15" thickBot="1" x14ac:dyDescent="0.4">
      <c r="A19" s="8" t="s">
        <v>56</v>
      </c>
      <c r="B19" s="9" t="s">
        <v>7</v>
      </c>
      <c r="C19" s="9" t="s">
        <v>57</v>
      </c>
      <c r="D19" s="9">
        <v>980</v>
      </c>
      <c r="E19" s="9">
        <v>10</v>
      </c>
      <c r="F19" s="9" t="s">
        <v>9</v>
      </c>
      <c r="G19" s="7">
        <f t="shared" si="4"/>
        <v>9800</v>
      </c>
      <c r="H19" s="7" t="str">
        <f t="shared" si="0"/>
        <v>High Price</v>
      </c>
      <c r="I19" s="9" t="str">
        <f t="shared" si="1"/>
        <v>27</v>
      </c>
      <c r="J19" s="9" t="str">
        <f t="shared" si="2"/>
        <v>IT</v>
      </c>
      <c r="K19" s="9" t="str">
        <f t="shared" si="3"/>
        <v>JAN</v>
      </c>
    </row>
    <row r="20" spans="1:11" ht="15" thickBot="1" x14ac:dyDescent="0.4">
      <c r="A20" s="5" t="s">
        <v>58</v>
      </c>
      <c r="B20" s="6" t="s">
        <v>59</v>
      </c>
      <c r="C20" s="6" t="s">
        <v>60</v>
      </c>
      <c r="D20" s="6">
        <v>150</v>
      </c>
      <c r="E20" s="6">
        <v>15</v>
      </c>
      <c r="F20" s="6" t="s">
        <v>13</v>
      </c>
      <c r="G20" s="7">
        <f t="shared" si="4"/>
        <v>2250</v>
      </c>
      <c r="H20" s="7" t="str">
        <f t="shared" si="0"/>
        <v>Standard Price</v>
      </c>
      <c r="I20" s="9" t="str">
        <f t="shared" si="1"/>
        <v>01</v>
      </c>
      <c r="J20" s="9" t="str">
        <f t="shared" si="2"/>
        <v>UK</v>
      </c>
      <c r="K20" s="9" t="str">
        <f t="shared" si="3"/>
        <v>MAR</v>
      </c>
    </row>
    <row r="21" spans="1:11" ht="15" thickBot="1" x14ac:dyDescent="0.4">
      <c r="A21" s="8" t="s">
        <v>61</v>
      </c>
      <c r="B21" s="9" t="s">
        <v>62</v>
      </c>
      <c r="C21" s="9" t="s">
        <v>63</v>
      </c>
      <c r="D21" s="9">
        <v>200</v>
      </c>
      <c r="E21" s="9">
        <v>10</v>
      </c>
      <c r="F21" s="9" t="s">
        <v>24</v>
      </c>
      <c r="G21" s="7">
        <f t="shared" si="4"/>
        <v>2000</v>
      </c>
      <c r="H21" s="7" t="str">
        <f t="shared" si="0"/>
        <v>Standard Price</v>
      </c>
      <c r="I21" s="9" t="str">
        <f t="shared" si="1"/>
        <v>14</v>
      </c>
      <c r="J21" s="9" t="str">
        <f t="shared" si="2"/>
        <v>US</v>
      </c>
      <c r="K21" s="9" t="str">
        <f t="shared" si="3"/>
        <v>AUG</v>
      </c>
    </row>
    <row r="22" spans="1:11" ht="15" thickBot="1" x14ac:dyDescent="0.4">
      <c r="A22" s="5" t="s">
        <v>64</v>
      </c>
      <c r="B22" s="6" t="s">
        <v>65</v>
      </c>
      <c r="C22" s="6" t="s">
        <v>66</v>
      </c>
      <c r="D22" s="6">
        <v>700</v>
      </c>
      <c r="E22" s="6">
        <v>50</v>
      </c>
      <c r="F22" s="6" t="s">
        <v>9</v>
      </c>
      <c r="G22" s="7">
        <f t="shared" si="4"/>
        <v>35000</v>
      </c>
      <c r="H22" s="7" t="str">
        <f t="shared" si="0"/>
        <v>High Price</v>
      </c>
      <c r="I22" s="9" t="str">
        <f t="shared" si="1"/>
        <v>14</v>
      </c>
      <c r="J22" s="9" t="str">
        <f t="shared" si="2"/>
        <v>RU</v>
      </c>
      <c r="K22" s="9" t="str">
        <f t="shared" si="3"/>
        <v>MAY</v>
      </c>
    </row>
    <row r="23" spans="1:11" ht="15" thickBot="1" x14ac:dyDescent="0.4">
      <c r="A23" s="8" t="s">
        <v>67</v>
      </c>
      <c r="B23" s="9" t="s">
        <v>68</v>
      </c>
      <c r="C23" s="9" t="s">
        <v>69</v>
      </c>
      <c r="D23" s="9">
        <v>80</v>
      </c>
      <c r="E23" s="9">
        <v>20</v>
      </c>
      <c r="F23" s="9" t="s">
        <v>17</v>
      </c>
      <c r="G23" s="7">
        <f t="shared" si="4"/>
        <v>1600</v>
      </c>
      <c r="H23" s="7" t="str">
        <f t="shared" si="0"/>
        <v>Standard Price</v>
      </c>
      <c r="I23" s="9" t="str">
        <f t="shared" si="1"/>
        <v>09</v>
      </c>
      <c r="J23" s="9" t="str">
        <f t="shared" si="2"/>
        <v>CA</v>
      </c>
      <c r="K23" s="9" t="str">
        <f t="shared" si="3"/>
        <v>JAN</v>
      </c>
    </row>
    <row r="24" spans="1:11" ht="15" thickBot="1" x14ac:dyDescent="0.4">
      <c r="A24" s="5" t="s">
        <v>70</v>
      </c>
      <c r="B24" s="6" t="s">
        <v>71</v>
      </c>
      <c r="C24" s="6" t="s">
        <v>72</v>
      </c>
      <c r="D24" s="6">
        <v>150</v>
      </c>
      <c r="E24" s="6">
        <v>30</v>
      </c>
      <c r="F24" s="6" t="s">
        <v>9</v>
      </c>
      <c r="G24" s="7">
        <f t="shared" si="4"/>
        <v>4500</v>
      </c>
      <c r="H24" s="7" t="str">
        <f t="shared" si="0"/>
        <v>Standard Price</v>
      </c>
      <c r="I24" s="9" t="str">
        <f t="shared" si="1"/>
        <v>19</v>
      </c>
      <c r="J24" s="9" t="str">
        <f t="shared" si="2"/>
        <v>BR</v>
      </c>
      <c r="K24" s="9" t="str">
        <f t="shared" si="3"/>
        <v>JUL</v>
      </c>
    </row>
    <row r="25" spans="1:11" ht="15" thickBot="1" x14ac:dyDescent="0.4">
      <c r="A25" s="8" t="s">
        <v>50</v>
      </c>
      <c r="B25" s="9" t="s">
        <v>51</v>
      </c>
      <c r="C25" s="9" t="s">
        <v>52</v>
      </c>
      <c r="D25" s="9">
        <v>50</v>
      </c>
      <c r="E25" s="9">
        <v>35</v>
      </c>
      <c r="F25" s="9" t="s">
        <v>53</v>
      </c>
      <c r="G25" s="7">
        <f t="shared" si="4"/>
        <v>1750</v>
      </c>
      <c r="H25" s="7" t="str">
        <f t="shared" si="0"/>
        <v>Standard Price</v>
      </c>
      <c r="I25" s="9" t="str">
        <f t="shared" si="1"/>
        <v>21</v>
      </c>
      <c r="J25" s="9" t="str">
        <f t="shared" si="2"/>
        <v>CA</v>
      </c>
      <c r="K25" s="9" t="str">
        <f t="shared" si="3"/>
        <v>AUG</v>
      </c>
    </row>
    <row r="26" spans="1:11" ht="15" thickBot="1" x14ac:dyDescent="0.4">
      <c r="A26" s="5" t="s">
        <v>73</v>
      </c>
      <c r="B26" s="6" t="s">
        <v>19</v>
      </c>
      <c r="C26" s="6" t="s">
        <v>74</v>
      </c>
      <c r="D26" s="6">
        <v>800</v>
      </c>
      <c r="E26" s="6">
        <v>45</v>
      </c>
      <c r="F26" s="6" t="s">
        <v>9</v>
      </c>
      <c r="G26" s="7">
        <f t="shared" si="4"/>
        <v>36000</v>
      </c>
      <c r="H26" s="7" t="str">
        <f t="shared" si="0"/>
        <v>High Price</v>
      </c>
      <c r="I26" s="9" t="str">
        <f t="shared" si="1"/>
        <v>29</v>
      </c>
      <c r="J26" s="9" t="str">
        <f t="shared" si="2"/>
        <v>CA</v>
      </c>
      <c r="K26" s="9" t="str">
        <f t="shared" si="3"/>
        <v>SEP</v>
      </c>
    </row>
    <row r="27" spans="1:11" ht="15" thickBot="1" x14ac:dyDescent="0.4">
      <c r="A27" s="8" t="s">
        <v>75</v>
      </c>
      <c r="B27" s="9" t="s">
        <v>59</v>
      </c>
      <c r="C27" s="9" t="s">
        <v>76</v>
      </c>
      <c r="D27" s="9">
        <v>130</v>
      </c>
      <c r="E27" s="9">
        <v>25</v>
      </c>
      <c r="F27" s="9" t="s">
        <v>13</v>
      </c>
      <c r="G27" s="7">
        <f t="shared" si="4"/>
        <v>3250</v>
      </c>
      <c r="H27" s="7" t="str">
        <f t="shared" si="0"/>
        <v>Standard Price</v>
      </c>
      <c r="I27" s="9" t="str">
        <f t="shared" si="1"/>
        <v>03</v>
      </c>
      <c r="J27" s="9" t="str">
        <f t="shared" si="2"/>
        <v>CA</v>
      </c>
      <c r="K27" s="9" t="str">
        <f t="shared" si="3"/>
        <v>JUN</v>
      </c>
    </row>
    <row r="28" spans="1:11" ht="15" thickBot="1" x14ac:dyDescent="0.4">
      <c r="A28" s="5" t="s">
        <v>77</v>
      </c>
      <c r="B28" s="6" t="s">
        <v>32</v>
      </c>
      <c r="C28" s="6" t="s">
        <v>78</v>
      </c>
      <c r="D28" s="6">
        <v>400</v>
      </c>
      <c r="E28" s="6">
        <v>40</v>
      </c>
      <c r="F28" s="6" t="s">
        <v>17</v>
      </c>
      <c r="G28" s="7">
        <f t="shared" si="4"/>
        <v>16000</v>
      </c>
      <c r="H28" s="7" t="str">
        <f t="shared" si="0"/>
        <v>Standard Price</v>
      </c>
      <c r="I28" s="9" t="str">
        <f t="shared" si="1"/>
        <v>11</v>
      </c>
      <c r="J28" s="9" t="str">
        <f t="shared" si="2"/>
        <v>CA</v>
      </c>
      <c r="K28" s="9" t="str">
        <f t="shared" si="3"/>
        <v>JUL</v>
      </c>
    </row>
    <row r="29" spans="1:11" ht="15" thickBot="1" x14ac:dyDescent="0.4">
      <c r="A29" s="8" t="s">
        <v>48</v>
      </c>
      <c r="B29" s="9" t="s">
        <v>26</v>
      </c>
      <c r="C29" s="9" t="s">
        <v>49</v>
      </c>
      <c r="D29" s="9">
        <v>230</v>
      </c>
      <c r="E29" s="9">
        <v>20</v>
      </c>
      <c r="F29" s="9" t="s">
        <v>9</v>
      </c>
      <c r="G29" s="7">
        <f t="shared" si="4"/>
        <v>4600</v>
      </c>
      <c r="H29" s="7" t="str">
        <f t="shared" si="0"/>
        <v>Standard Price</v>
      </c>
      <c r="I29" s="9" t="str">
        <f t="shared" si="1"/>
        <v>16</v>
      </c>
      <c r="J29" s="9" t="str">
        <f t="shared" si="2"/>
        <v>ES</v>
      </c>
      <c r="K29" s="9" t="str">
        <f t="shared" si="3"/>
        <v>APR</v>
      </c>
    </row>
    <row r="30" spans="1:11" ht="15" thickBot="1" x14ac:dyDescent="0.4">
      <c r="A30" s="5" t="s">
        <v>79</v>
      </c>
      <c r="B30" s="6" t="s">
        <v>80</v>
      </c>
      <c r="C30" s="6" t="s">
        <v>81</v>
      </c>
      <c r="D30" s="6">
        <v>60</v>
      </c>
      <c r="E30" s="6">
        <v>30</v>
      </c>
      <c r="F30" s="6" t="s">
        <v>13</v>
      </c>
      <c r="G30" s="7">
        <f t="shared" si="4"/>
        <v>1800</v>
      </c>
      <c r="H30" s="7" t="str">
        <f t="shared" si="0"/>
        <v>Standard Price</v>
      </c>
      <c r="I30" s="9" t="str">
        <f t="shared" si="1"/>
        <v>07</v>
      </c>
      <c r="J30" s="9" t="str">
        <f t="shared" si="2"/>
        <v>CA</v>
      </c>
      <c r="K30" s="9" t="str">
        <f t="shared" si="3"/>
        <v>MAR</v>
      </c>
    </row>
    <row r="31" spans="1:11" ht="15" thickBot="1" x14ac:dyDescent="0.4">
      <c r="A31" s="8" t="s">
        <v>82</v>
      </c>
      <c r="B31" s="9" t="s">
        <v>83</v>
      </c>
      <c r="C31" s="9" t="s">
        <v>84</v>
      </c>
      <c r="D31" s="9">
        <v>40</v>
      </c>
      <c r="E31" s="9">
        <v>10</v>
      </c>
      <c r="F31" s="9" t="s">
        <v>17</v>
      </c>
      <c r="G31" s="7">
        <f t="shared" si="4"/>
        <v>400</v>
      </c>
      <c r="H31" s="7" t="str">
        <f t="shared" si="0"/>
        <v>Standard Price</v>
      </c>
      <c r="I31" s="9" t="str">
        <f t="shared" si="1"/>
        <v>13</v>
      </c>
      <c r="J31" s="9" t="str">
        <f t="shared" si="2"/>
        <v>CA</v>
      </c>
      <c r="K31" s="9" t="str">
        <f t="shared" si="3"/>
        <v>APR</v>
      </c>
    </row>
    <row r="32" spans="1:11" ht="15" thickBot="1" x14ac:dyDescent="0.4">
      <c r="A32" s="5" t="s">
        <v>85</v>
      </c>
      <c r="B32" s="6" t="s">
        <v>71</v>
      </c>
      <c r="C32" s="6" t="s">
        <v>86</v>
      </c>
      <c r="D32" s="6">
        <v>130</v>
      </c>
      <c r="E32" s="6">
        <v>5</v>
      </c>
      <c r="F32" s="6" t="s">
        <v>9</v>
      </c>
      <c r="G32" s="7">
        <f t="shared" si="4"/>
        <v>650</v>
      </c>
      <c r="H32" s="7" t="str">
        <f t="shared" si="0"/>
        <v>Standard Price</v>
      </c>
      <c r="I32" s="9" t="str">
        <f t="shared" si="1"/>
        <v>24</v>
      </c>
      <c r="J32" s="9" t="str">
        <f t="shared" si="2"/>
        <v>CA</v>
      </c>
      <c r="K32" s="9" t="str">
        <f t="shared" si="3"/>
        <v>MAY</v>
      </c>
    </row>
    <row r="33" spans="1:11" ht="15" thickBot="1" x14ac:dyDescent="0.4">
      <c r="A33" s="8" t="s">
        <v>87</v>
      </c>
      <c r="B33" s="9" t="s">
        <v>88</v>
      </c>
      <c r="C33" s="9" t="s">
        <v>89</v>
      </c>
      <c r="D33" s="9">
        <v>50</v>
      </c>
      <c r="E33" s="9">
        <v>50</v>
      </c>
      <c r="F33" s="9" t="s">
        <v>13</v>
      </c>
      <c r="G33" s="7">
        <f t="shared" si="4"/>
        <v>2500</v>
      </c>
      <c r="H33" s="7" t="str">
        <f t="shared" si="0"/>
        <v>Standard Price</v>
      </c>
      <c r="I33" s="9" t="str">
        <f t="shared" si="1"/>
        <v>02</v>
      </c>
      <c r="J33" s="9" t="str">
        <f t="shared" si="2"/>
        <v>CA</v>
      </c>
      <c r="K33" s="9" t="str">
        <f t="shared" si="3"/>
        <v>DEC</v>
      </c>
    </row>
    <row r="34" spans="1:11" ht="15" thickBot="1" x14ac:dyDescent="0.4">
      <c r="A34" s="5" t="s">
        <v>40</v>
      </c>
      <c r="B34" s="6" t="s">
        <v>7</v>
      </c>
      <c r="C34" s="6" t="s">
        <v>41</v>
      </c>
      <c r="D34" s="6">
        <v>950</v>
      </c>
      <c r="E34" s="6">
        <v>25</v>
      </c>
      <c r="F34" s="6" t="s">
        <v>9</v>
      </c>
      <c r="G34" s="7">
        <f t="shared" si="4"/>
        <v>23750</v>
      </c>
      <c r="H34" s="7" t="str">
        <f t="shared" si="0"/>
        <v>High Price</v>
      </c>
      <c r="I34" s="9" t="str">
        <f t="shared" si="1"/>
        <v>17</v>
      </c>
      <c r="J34" s="9" t="str">
        <f t="shared" si="2"/>
        <v>IN</v>
      </c>
      <c r="K34" s="9" t="str">
        <f t="shared" si="3"/>
        <v>JUN</v>
      </c>
    </row>
    <row r="35" spans="1:11" ht="15" thickBot="1" x14ac:dyDescent="0.4">
      <c r="A35" s="8" t="s">
        <v>90</v>
      </c>
      <c r="B35" s="9" t="s">
        <v>91</v>
      </c>
      <c r="C35" s="9" t="s">
        <v>92</v>
      </c>
      <c r="D35" s="9">
        <v>100</v>
      </c>
      <c r="E35" s="9">
        <v>20</v>
      </c>
      <c r="F35" s="9" t="s">
        <v>53</v>
      </c>
      <c r="G35" s="7">
        <f t="shared" si="4"/>
        <v>2000</v>
      </c>
      <c r="H35" s="7" t="str">
        <f t="shared" si="0"/>
        <v>Standard Price</v>
      </c>
      <c r="I35" s="11" t="str">
        <f t="shared" si="1"/>
        <v>09</v>
      </c>
      <c r="J35" s="11" t="str">
        <f t="shared" si="2"/>
        <v>FR</v>
      </c>
      <c r="K35" s="11" t="str">
        <f t="shared" si="3"/>
        <v>JUL</v>
      </c>
    </row>
    <row r="36" spans="1:11" x14ac:dyDescent="0.35">
      <c r="A36" s="10"/>
      <c r="B36" s="11"/>
      <c r="C36" s="11"/>
      <c r="D36" s="11"/>
      <c r="E36" s="11"/>
      <c r="F36" s="11"/>
      <c r="G36" s="7">
        <f>SUM(Table1[Total Price])</f>
        <v>289700</v>
      </c>
      <c r="I36" s="11"/>
      <c r="J36" s="11"/>
      <c r="K36" s="11"/>
    </row>
    <row r="38" spans="1:11" x14ac:dyDescent="0.35">
      <c r="A38" s="12" t="s">
        <v>94</v>
      </c>
      <c r="B38" s="13"/>
      <c r="C38" s="13" t="s">
        <v>98</v>
      </c>
    </row>
    <row r="39" spans="1:11" ht="29" x14ac:dyDescent="0.35">
      <c r="B39" s="4" t="s">
        <v>95</v>
      </c>
      <c r="C39" s="7">
        <f>SUM(Table1[Price ($)])</f>
        <v>10100</v>
      </c>
    </row>
    <row r="40" spans="1:11" ht="20.5" customHeight="1" x14ac:dyDescent="0.35">
      <c r="B40" s="4" t="s">
        <v>96</v>
      </c>
      <c r="C40" s="7">
        <f>COUNTA(B2:B35)</f>
        <v>34</v>
      </c>
    </row>
    <row r="41" spans="1:11" ht="23" customHeight="1" x14ac:dyDescent="0.35">
      <c r="B41" s="4" t="s">
        <v>97</v>
      </c>
      <c r="C41" s="14">
        <f>AVERAGE(D2:D35)</f>
        <v>297.05882352941177</v>
      </c>
    </row>
    <row r="42" spans="1:11" x14ac:dyDescent="0.35">
      <c r="A42" s="13" t="s">
        <v>99</v>
      </c>
      <c r="B42" s="16"/>
    </row>
    <row r="43" spans="1:11" ht="43.5" x14ac:dyDescent="0.35">
      <c r="B43" s="15" t="s">
        <v>101</v>
      </c>
      <c r="C43" s="7">
        <f>MIN(D2:D35)</f>
        <v>30</v>
      </c>
    </row>
    <row r="44" spans="1:11" x14ac:dyDescent="0.35">
      <c r="B44" s="4" t="s">
        <v>100</v>
      </c>
      <c r="C44" s="7">
        <f>MAX(D2:D35)</f>
        <v>1000</v>
      </c>
    </row>
    <row r="45" spans="1:11" x14ac:dyDescent="0.35">
      <c r="A45" s="12" t="s">
        <v>102</v>
      </c>
      <c r="B45" s="16"/>
    </row>
    <row r="46" spans="1:11" ht="72.5" x14ac:dyDescent="0.35">
      <c r="B46" s="4" t="s">
        <v>103</v>
      </c>
      <c r="C46" s="7" t="str">
        <f>IF(D2&gt;=500, "High Price", "Standard Price")</f>
        <v>High Price</v>
      </c>
    </row>
    <row r="47" spans="1:11" x14ac:dyDescent="0.35">
      <c r="A47" s="13" t="s">
        <v>105</v>
      </c>
      <c r="B47" s="16"/>
    </row>
    <row r="48" spans="1:11" ht="43.5" x14ac:dyDescent="0.35">
      <c r="B48" s="15" t="s">
        <v>107</v>
      </c>
      <c r="C48" s="7">
        <f>SUMIF(F2:F35, "Electronics", D2:D35)</f>
        <v>8050</v>
      </c>
    </row>
    <row r="49" spans="1:3" ht="29" x14ac:dyDescent="0.35">
      <c r="B49" s="15" t="s">
        <v>106</v>
      </c>
      <c r="C49" s="7">
        <f>COUNTIF(D2:D35, "&lt;100")</f>
        <v>11</v>
      </c>
    </row>
    <row r="50" spans="1:3" ht="29" x14ac:dyDescent="0.35">
      <c r="A50" s="17" t="s">
        <v>108</v>
      </c>
    </row>
    <row r="51" spans="1:3" ht="58" x14ac:dyDescent="0.35">
      <c r="B51" s="15" t="s">
        <v>110</v>
      </c>
      <c r="C51" s="7" t="str">
        <f>LEFT(A2, 2)</f>
        <v>28</v>
      </c>
    </row>
    <row r="52" spans="1:3" ht="58" x14ac:dyDescent="0.35">
      <c r="B52" s="15" t="s">
        <v>109</v>
      </c>
      <c r="C52" s="7" t="str">
        <f>RIGHT(A2, 2)</f>
        <v>US</v>
      </c>
    </row>
    <row r="53" spans="1:3" ht="43.5" x14ac:dyDescent="0.35">
      <c r="B53" s="15" t="s">
        <v>111</v>
      </c>
      <c r="C53" s="7" t="str">
        <f>MID(A2, 4, 3)</f>
        <v>JAN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A K JOHN</dc:creator>
  <cp:lastModifiedBy>Alan A K JOHN</cp:lastModifiedBy>
  <dcterms:created xsi:type="dcterms:W3CDTF">2026-09-10T14:42:19Z</dcterms:created>
  <dcterms:modified xsi:type="dcterms:W3CDTF">2026-09-15T13:07:32Z</dcterms:modified>
</cp:coreProperties>
</file>